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ndavu\Desktop\"/>
    </mc:Choice>
  </mc:AlternateContent>
  <xr:revisionPtr revIDLastSave="0" documentId="13_ncr:1_{BA0566E3-5B76-4D09-BE92-476CC46EE631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heet1" sheetId="1" r:id="rId1"/>
    <sheet name="VedhuMoney" sheetId="5" r:id="rId2"/>
    <sheet name="to father" sheetId="4" r:id="rId3"/>
    <sheet name="Sheet2" sheetId="2" r:id="rId4"/>
    <sheet name="Sheet3" sheetId="3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3" l="1"/>
  <c r="B10" i="5"/>
  <c r="D24" i="4"/>
  <c r="D12" i="4"/>
  <c r="J8" i="3"/>
  <c r="B16" i="3"/>
  <c r="R17" i="1"/>
  <c r="R16" i="1"/>
  <c r="R15" i="1"/>
  <c r="B5" i="3"/>
  <c r="D6" i="1"/>
</calcChain>
</file>

<file path=xl/sharedStrings.xml><?xml version="1.0" encoding="utf-8"?>
<sst xmlns="http://schemas.openxmlformats.org/spreadsheetml/2006/main" count="99" uniqueCount="77">
  <si>
    <t>Paid Sofar</t>
  </si>
  <si>
    <t>Tuni Site</t>
  </si>
  <si>
    <t>Actual cost</t>
  </si>
  <si>
    <t>Broker charges</t>
  </si>
  <si>
    <t>Registration</t>
  </si>
  <si>
    <t>Kolichinandhuku</t>
  </si>
  <si>
    <t>Tuni Shops</t>
  </si>
  <si>
    <t>Already paid</t>
  </si>
  <si>
    <t>Sruthi+Paandu+Suresh Oct inv</t>
  </si>
  <si>
    <t>sources</t>
  </si>
  <si>
    <t>GST etc</t>
  </si>
  <si>
    <t>Vedu</t>
  </si>
  <si>
    <t>Electricity Meter</t>
  </si>
  <si>
    <t>Mavayyagaru</t>
  </si>
  <si>
    <t>Misc</t>
  </si>
  <si>
    <t>Site ki ichinavi</t>
  </si>
  <si>
    <t>Still needed</t>
  </si>
  <si>
    <t>Suresh</t>
  </si>
  <si>
    <t>Paandu Personal Loan</t>
  </si>
  <si>
    <t>Paandu</t>
  </si>
  <si>
    <t>Suresh Personal Loan</t>
  </si>
  <si>
    <t>Name</t>
  </si>
  <si>
    <t>Aadhar Number</t>
  </si>
  <si>
    <t>Phone Number</t>
  </si>
  <si>
    <t>Age</t>
  </si>
  <si>
    <t>Saithana Ananda Babu</t>
  </si>
  <si>
    <t>452301098508</t>
  </si>
  <si>
    <t>Padilam Naga Venkata Satya</t>
  </si>
  <si>
    <t>599808371685</t>
  </si>
  <si>
    <t>Padilam Venkateswar Rao</t>
  </si>
  <si>
    <t>635969505333</t>
  </si>
  <si>
    <t>Padilam Jaya Manoj</t>
  </si>
  <si>
    <t>756202813670</t>
  </si>
  <si>
    <t>Sythana Rohith Rajeev</t>
  </si>
  <si>
    <t>202170784300</t>
  </si>
  <si>
    <t>Padilam Reshmi</t>
  </si>
  <si>
    <t>469561143654</t>
  </si>
  <si>
    <t>Thota Yedukondalu</t>
  </si>
  <si>
    <t>755191521888</t>
  </si>
  <si>
    <t>Malireddi Suresh</t>
  </si>
  <si>
    <t>461247148103</t>
  </si>
  <si>
    <t>Thota Ramavati</t>
  </si>
  <si>
    <t>780296416315</t>
  </si>
  <si>
    <t>Tuni shops</t>
  </si>
  <si>
    <t>suresh</t>
  </si>
  <si>
    <t>from satya</t>
  </si>
  <si>
    <t>initial</t>
  </si>
  <si>
    <t>from anand</t>
  </si>
  <si>
    <t>initial sruthi</t>
  </si>
  <si>
    <t>paandu+sruthi</t>
  </si>
  <si>
    <t xml:space="preserve">Tuni Shops final amount </t>
  </si>
  <si>
    <t>Loan</t>
  </si>
  <si>
    <t>Total</t>
  </si>
  <si>
    <t>201.66 X 14000</t>
  </si>
  <si>
    <t>Tuni site final amount</t>
  </si>
  <si>
    <t>Total investment in tuni</t>
  </si>
  <si>
    <t>each person share</t>
  </si>
  <si>
    <t xml:space="preserve">Total suresh given </t>
  </si>
  <si>
    <t>Total paandu given</t>
  </si>
  <si>
    <t>Difference for actual amount</t>
  </si>
  <si>
    <t>after loan processing fee adjustment</t>
  </si>
  <si>
    <t>Suresh to paandu</t>
  </si>
  <si>
    <t>Paandu To Father</t>
  </si>
  <si>
    <t>site</t>
  </si>
  <si>
    <t>current ae</t>
  </si>
  <si>
    <t xml:space="preserve">online transfer </t>
  </si>
  <si>
    <t>atm</t>
  </si>
  <si>
    <t>total</t>
  </si>
  <si>
    <t>return</t>
  </si>
  <si>
    <t>vedhu</t>
  </si>
  <si>
    <t>transfer</t>
  </si>
  <si>
    <t>from sister</t>
  </si>
  <si>
    <t>from sister bank</t>
  </si>
  <si>
    <t>total outstanding</t>
  </si>
  <si>
    <t>from sruthi</t>
  </si>
  <si>
    <t>From suresh</t>
  </si>
  <si>
    <t>From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</si>
</sst>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49" fontId="0" fillId="2" borderId="1" xfId="0" applyNumberForma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1"/>
  <sheetViews>
    <sheetView topLeftCell="E7" workbookViewId="0">
      <selection activeCell="F2" sqref="F2"/>
    </sheetView>
  </sheetViews>
  <sheetFormatPr defaultRowHeight="14.4" x14ac:dyDescent="0.3"/>
  <cols>
    <col min="2" max="2" width="10.5546875" bestFit="1" customWidth="1"/>
    <col min="3" max="3" width="20.6640625" bestFit="1" customWidth="1"/>
    <col min="4" max="5" width="9.88671875" bestFit="1" customWidth="1"/>
    <col min="6" max="6" width="13.5546875" bestFit="1" customWidth="1"/>
    <col min="10" max="10" width="13.5546875" bestFit="1" customWidth="1"/>
    <col min="11" max="11" width="28" bestFit="1" customWidth="1"/>
    <col min="12" max="12" width="9.88671875" bestFit="1" customWidth="1"/>
  </cols>
  <sheetData>
    <row r="1" spans="2:18" x14ac:dyDescent="0.3">
      <c r="J1" t="s">
        <v>0</v>
      </c>
    </row>
    <row r="2" spans="2:18" x14ac:dyDescent="0.3">
      <c r="B2" t="s">
        <v>1</v>
      </c>
      <c r="C2" t="s">
        <v>2</v>
      </c>
      <c r="D2" s="1">
        <v>2823240</v>
      </c>
      <c r="F2" t="s">
        <v>53</v>
      </c>
    </row>
    <row r="3" spans="2:18" x14ac:dyDescent="0.3">
      <c r="C3" t="s">
        <v>3</v>
      </c>
      <c r="D3">
        <v>28232</v>
      </c>
    </row>
    <row r="4" spans="2:18" x14ac:dyDescent="0.3">
      <c r="C4" t="s">
        <v>4</v>
      </c>
      <c r="D4">
        <v>102000</v>
      </c>
    </row>
    <row r="5" spans="2:18" x14ac:dyDescent="0.3">
      <c r="C5" t="s">
        <v>5</v>
      </c>
      <c r="D5">
        <v>10000</v>
      </c>
    </row>
    <row r="6" spans="2:18" x14ac:dyDescent="0.3">
      <c r="D6" s="1">
        <f>SUM(D2:D5)</f>
        <v>2963472</v>
      </c>
    </row>
    <row r="7" spans="2:18" x14ac:dyDescent="0.3">
      <c r="D7" s="1"/>
    </row>
    <row r="8" spans="2:18" x14ac:dyDescent="0.3">
      <c r="D8" s="1"/>
    </row>
    <row r="9" spans="2:18" x14ac:dyDescent="0.3">
      <c r="D9" s="1"/>
    </row>
    <row r="10" spans="2:18" x14ac:dyDescent="0.3">
      <c r="B10" t="s">
        <v>6</v>
      </c>
      <c r="C10" t="s">
        <v>2</v>
      </c>
      <c r="D10" s="1">
        <v>3000000</v>
      </c>
      <c r="J10" t="s">
        <v>6</v>
      </c>
      <c r="K10" t="s">
        <v>7</v>
      </c>
      <c r="L10" s="1">
        <v>1100000</v>
      </c>
    </row>
    <row r="11" spans="2:18" x14ac:dyDescent="0.3">
      <c r="C11" t="s">
        <v>4</v>
      </c>
      <c r="D11">
        <v>40000</v>
      </c>
      <c r="K11" t="s">
        <v>8</v>
      </c>
      <c r="L11" s="1">
        <v>400000</v>
      </c>
      <c r="M11" t="s">
        <v>9</v>
      </c>
    </row>
    <row r="12" spans="2:18" x14ac:dyDescent="0.3">
      <c r="C12" t="s">
        <v>10</v>
      </c>
      <c r="D12">
        <v>10000</v>
      </c>
      <c r="K12" t="s">
        <v>11</v>
      </c>
      <c r="L12" s="1">
        <v>100000</v>
      </c>
      <c r="M12" t="s">
        <v>9</v>
      </c>
    </row>
    <row r="13" spans="2:18" x14ac:dyDescent="0.3">
      <c r="C13" t="s">
        <v>12</v>
      </c>
      <c r="D13">
        <v>65000</v>
      </c>
      <c r="K13" t="s">
        <v>13</v>
      </c>
      <c r="L13" s="1">
        <v>200000</v>
      </c>
      <c r="M13" t="s">
        <v>9</v>
      </c>
    </row>
    <row r="14" spans="2:18" x14ac:dyDescent="0.3">
      <c r="C14" t="s">
        <v>14</v>
      </c>
      <c r="D14">
        <v>50000</v>
      </c>
      <c r="R14" t="s">
        <v>52</v>
      </c>
    </row>
    <row r="15" spans="2:18" x14ac:dyDescent="0.3">
      <c r="J15" t="s">
        <v>15</v>
      </c>
      <c r="K15" t="s">
        <v>13</v>
      </c>
      <c r="L15" s="1">
        <v>250000</v>
      </c>
      <c r="M15">
        <v>-50000</v>
      </c>
      <c r="N15">
        <v>-50000</v>
      </c>
      <c r="R15" s="1">
        <f>SUM(L15:Q15)</f>
        <v>150000</v>
      </c>
    </row>
    <row r="16" spans="2:18" x14ac:dyDescent="0.3">
      <c r="C16" t="s">
        <v>16</v>
      </c>
      <c r="D16" s="1">
        <v>4300000</v>
      </c>
      <c r="E16" s="1">
        <v>4267000</v>
      </c>
      <c r="K16" t="s">
        <v>17</v>
      </c>
      <c r="L16" s="1">
        <v>200000</v>
      </c>
      <c r="M16">
        <v>50000</v>
      </c>
      <c r="R16" s="1">
        <f>SUM(L16:Q16)</f>
        <v>250000</v>
      </c>
    </row>
    <row r="17" spans="3:18" x14ac:dyDescent="0.3">
      <c r="C17" t="s">
        <v>18</v>
      </c>
      <c r="D17" s="1">
        <v>2000000</v>
      </c>
      <c r="K17" t="s">
        <v>19</v>
      </c>
      <c r="L17" s="1">
        <v>50000</v>
      </c>
      <c r="N17">
        <v>50000</v>
      </c>
      <c r="R17" s="1">
        <f>SUM(L17:Q17)</f>
        <v>100000</v>
      </c>
    </row>
    <row r="18" spans="3:18" x14ac:dyDescent="0.3">
      <c r="C18" t="s">
        <v>20</v>
      </c>
      <c r="D18" s="1">
        <v>2000000</v>
      </c>
    </row>
    <row r="22" spans="3:18" x14ac:dyDescent="0.3">
      <c r="J22" t="s">
        <v>43</v>
      </c>
      <c r="K22" t="s">
        <v>44</v>
      </c>
      <c r="L22" t="s">
        <v>45</v>
      </c>
      <c r="M22">
        <v>300000</v>
      </c>
    </row>
    <row r="23" spans="3:18" x14ac:dyDescent="0.3">
      <c r="L23" t="s">
        <v>46</v>
      </c>
      <c r="M23">
        <v>200000</v>
      </c>
    </row>
    <row r="28" spans="3:18" x14ac:dyDescent="0.3">
      <c r="K28" t="s">
        <v>19</v>
      </c>
      <c r="L28" t="s">
        <v>47</v>
      </c>
      <c r="M28">
        <v>200000</v>
      </c>
    </row>
    <row r="29" spans="3:18" x14ac:dyDescent="0.3">
      <c r="L29" t="s">
        <v>48</v>
      </c>
      <c r="M29">
        <v>100000</v>
      </c>
    </row>
    <row r="30" spans="3:18" x14ac:dyDescent="0.3">
      <c r="L30" t="s">
        <v>49</v>
      </c>
      <c r="M30">
        <v>300000</v>
      </c>
    </row>
    <row r="31" spans="3:18" x14ac:dyDescent="0.3">
      <c r="L31" t="s">
        <v>51</v>
      </c>
      <c r="M31">
        <v>2067000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6D0A-3C83-4DA9-9A3D-DB32E0FE4A5B}">
  <dimension ref="A1:B10"/>
  <sheetViews>
    <sheetView workbookViewId="0">
      <selection activeCell="N15" sqref="N15"/>
    </sheetView>
  </sheetViews>
  <sheetFormatPr defaultRowHeight="14.4" x14ac:dyDescent="0.3"/>
  <cols>
    <col min="1" max="1" width="10.88671875" bestFit="1" customWidth="1"/>
  </cols>
  <sheetData>
    <row r="1" spans="1:2" x14ac:dyDescent="0.3">
      <c r="A1" t="s">
        <v>75</v>
      </c>
      <c r="B1">
        <v>120000</v>
      </c>
    </row>
    <row r="2" spans="1:2" x14ac:dyDescent="0.3">
      <c r="A2" t="s">
        <v>76</v>
      </c>
      <c r="B2">
        <v>93000</v>
      </c>
    </row>
    <row r="10" spans="1:2" x14ac:dyDescent="0.3">
      <c r="A10" t="s">
        <v>52</v>
      </c>
      <c r="B10">
        <f>SUM(B1:B9)</f>
        <v>213000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16B6-7EBF-4D11-9EC5-D9BD6C71B911}">
  <dimension ref="A1:D24"/>
  <sheetViews>
    <sheetView workbookViewId="0">
      <selection activeCell="D15" sqref="D15"/>
    </sheetView>
  </sheetViews>
  <sheetFormatPr defaultRowHeight="14.4" x14ac:dyDescent="0.3"/>
  <cols>
    <col min="3" max="3" width="15" bestFit="1" customWidth="1"/>
  </cols>
  <sheetData>
    <row r="1" spans="1:4" x14ac:dyDescent="0.3">
      <c r="A1" t="s">
        <v>62</v>
      </c>
    </row>
    <row r="5" spans="1:4" x14ac:dyDescent="0.3">
      <c r="B5" t="s">
        <v>63</v>
      </c>
      <c r="D5">
        <v>150000</v>
      </c>
    </row>
    <row r="6" spans="1:4" x14ac:dyDescent="0.3">
      <c r="B6" t="s">
        <v>64</v>
      </c>
    </row>
    <row r="7" spans="1:4" x14ac:dyDescent="0.3">
      <c r="C7" t="s">
        <v>65</v>
      </c>
      <c r="D7">
        <v>100000</v>
      </c>
    </row>
    <row r="8" spans="1:4" x14ac:dyDescent="0.3">
      <c r="C8" t="s">
        <v>66</v>
      </c>
      <c r="D8">
        <v>30000</v>
      </c>
    </row>
    <row r="12" spans="1:4" x14ac:dyDescent="0.3">
      <c r="C12" t="s">
        <v>67</v>
      </c>
      <c r="D12">
        <f>SUM(D5:D8)</f>
        <v>280000</v>
      </c>
    </row>
    <row r="14" spans="1:4" x14ac:dyDescent="0.3">
      <c r="B14" t="s">
        <v>68</v>
      </c>
    </row>
    <row r="15" spans="1:4" x14ac:dyDescent="0.3">
      <c r="C15" t="s">
        <v>69</v>
      </c>
      <c r="D15">
        <v>-120000</v>
      </c>
    </row>
    <row r="16" spans="1:4" x14ac:dyDescent="0.3">
      <c r="C16" t="s">
        <v>70</v>
      </c>
      <c r="D16">
        <v>-30000</v>
      </c>
    </row>
    <row r="17" spans="3:4" x14ac:dyDescent="0.3">
      <c r="C17" t="s">
        <v>71</v>
      </c>
      <c r="D17">
        <v>-15000</v>
      </c>
    </row>
    <row r="18" spans="3:4" x14ac:dyDescent="0.3">
      <c r="C18" t="s">
        <v>72</v>
      </c>
      <c r="D18">
        <v>-30000</v>
      </c>
    </row>
    <row r="19" spans="3:4" x14ac:dyDescent="0.3">
      <c r="C19" t="s">
        <v>74</v>
      </c>
      <c r="D19">
        <v>-85000</v>
      </c>
    </row>
    <row r="24" spans="3:4" x14ac:dyDescent="0.3">
      <c r="C24" t="s">
        <v>73</v>
      </c>
      <c r="D24">
        <f>SUM(D12:D22)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3D6A-6416-4D25-BCE2-42E54110E655}">
  <dimension ref="C1:J8"/>
  <sheetViews>
    <sheetView topLeftCell="A25" workbookViewId="0">
      <selection activeCell="C24" sqref="C24"/>
    </sheetView>
  </sheetViews>
  <sheetFormatPr defaultRowHeight="14.4" x14ac:dyDescent="0.3"/>
  <cols>
    <col min="3" max="3" width="26.44140625" bestFit="1" customWidth="1"/>
    <col min="4" max="4" width="15.5546875" bestFit="1" customWidth="1"/>
    <col min="7" max="7" width="26.44140625" bestFit="1" customWidth="1"/>
    <col min="8" max="8" width="14.44140625" bestFit="1" customWidth="1"/>
    <col min="9" max="9" width="4.44140625" bestFit="1" customWidth="1"/>
    <col min="10" max="10" width="15.33203125" bestFit="1" customWidth="1"/>
  </cols>
  <sheetData>
    <row r="1" spans="3:10" x14ac:dyDescent="0.3">
      <c r="C1" s="4" t="s">
        <v>21</v>
      </c>
      <c r="D1" s="4" t="s">
        <v>22</v>
      </c>
      <c r="G1" s="4" t="s">
        <v>21</v>
      </c>
      <c r="H1" s="4" t="s">
        <v>23</v>
      </c>
      <c r="I1" s="4" t="s">
        <v>24</v>
      </c>
      <c r="J1" s="4" t="s">
        <v>22</v>
      </c>
    </row>
    <row r="2" spans="3:10" x14ac:dyDescent="0.3">
      <c r="C2" s="2" t="s">
        <v>25</v>
      </c>
      <c r="D2" s="3" t="s">
        <v>26</v>
      </c>
      <c r="G2" s="2" t="s">
        <v>25</v>
      </c>
      <c r="H2" s="2">
        <v>7893896595</v>
      </c>
      <c r="I2" s="2">
        <v>60</v>
      </c>
      <c r="J2" s="3" t="s">
        <v>26</v>
      </c>
    </row>
    <row r="3" spans="3:10" x14ac:dyDescent="0.3">
      <c r="C3" s="5" t="s">
        <v>27</v>
      </c>
      <c r="D3" s="6" t="s">
        <v>28</v>
      </c>
      <c r="G3" s="2" t="s">
        <v>27</v>
      </c>
      <c r="H3" s="2">
        <v>9494117482</v>
      </c>
      <c r="I3" s="2">
        <v>34</v>
      </c>
      <c r="J3" s="2" t="s">
        <v>28</v>
      </c>
    </row>
    <row r="4" spans="3:10" x14ac:dyDescent="0.3">
      <c r="C4" s="5" t="s">
        <v>29</v>
      </c>
      <c r="D4" s="6" t="s">
        <v>30</v>
      </c>
      <c r="G4" s="2" t="s">
        <v>29</v>
      </c>
      <c r="H4" s="2">
        <v>8498860999</v>
      </c>
      <c r="I4" s="2">
        <v>40</v>
      </c>
      <c r="J4" s="2" t="s">
        <v>30</v>
      </c>
    </row>
    <row r="5" spans="3:10" x14ac:dyDescent="0.3">
      <c r="C5" s="5" t="s">
        <v>31</v>
      </c>
      <c r="D5" s="6" t="s">
        <v>32</v>
      </c>
      <c r="G5" s="2" t="s">
        <v>31</v>
      </c>
      <c r="H5" s="2">
        <v>8498860999</v>
      </c>
      <c r="I5" s="2">
        <v>12</v>
      </c>
      <c r="J5" s="2" t="s">
        <v>32</v>
      </c>
    </row>
    <row r="6" spans="3:10" x14ac:dyDescent="0.3">
      <c r="C6" s="2" t="s">
        <v>33</v>
      </c>
      <c r="D6" s="3" t="s">
        <v>34</v>
      </c>
      <c r="G6" s="2" t="s">
        <v>35</v>
      </c>
      <c r="H6" s="2">
        <v>8498860999</v>
      </c>
      <c r="I6" s="2">
        <v>16</v>
      </c>
      <c r="J6" s="3" t="s">
        <v>36</v>
      </c>
    </row>
    <row r="7" spans="3:10" x14ac:dyDescent="0.3">
      <c r="C7" s="2" t="s">
        <v>37</v>
      </c>
      <c r="D7" s="3" t="s">
        <v>38</v>
      </c>
      <c r="G7" s="2" t="s">
        <v>39</v>
      </c>
      <c r="H7" s="2">
        <v>9493561704</v>
      </c>
      <c r="I7" s="2">
        <v>30</v>
      </c>
      <c r="J7" s="3" t="s">
        <v>40</v>
      </c>
    </row>
    <row r="8" spans="3:10" x14ac:dyDescent="0.3">
      <c r="C8" s="2" t="s">
        <v>41</v>
      </c>
      <c r="D8" s="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4AF6-B226-4BFC-9969-831FA4D5F1A1}">
  <dimension ref="A1:R28"/>
  <sheetViews>
    <sheetView tabSelected="1" workbookViewId="0">
      <selection activeCell="J8" sqref="J8"/>
    </sheetView>
  </sheetViews>
  <sheetFormatPr defaultRowHeight="14.4" x14ac:dyDescent="0.3"/>
  <cols>
    <col min="1" max="1" width="22.44140625" bestFit="1" customWidth="1"/>
    <col min="3" max="3" width="9.5546875" bestFit="1" customWidth="1"/>
    <col min="9" max="9" width="20.33203125" bestFit="1" customWidth="1"/>
    <col min="12" max="12" width="25" bestFit="1" customWidth="1"/>
    <col min="13" max="13" width="31.21875" bestFit="1" customWidth="1"/>
    <col min="14" max="17" width="31.21875" customWidth="1"/>
  </cols>
  <sheetData>
    <row r="1" spans="1:13" x14ac:dyDescent="0.3">
      <c r="A1" t="s">
        <v>50</v>
      </c>
    </row>
    <row r="3" spans="1:13" x14ac:dyDescent="0.3">
      <c r="A3" t="s">
        <v>17</v>
      </c>
      <c r="B3">
        <v>500000</v>
      </c>
      <c r="C3" s="7"/>
    </row>
    <row r="4" spans="1:13" x14ac:dyDescent="0.3">
      <c r="A4" t="s">
        <v>19</v>
      </c>
      <c r="B4">
        <v>2667000</v>
      </c>
      <c r="C4" s="7"/>
    </row>
    <row r="5" spans="1:13" x14ac:dyDescent="0.3">
      <c r="B5">
        <f>SUM(B3:B4)</f>
        <v>3167000</v>
      </c>
    </row>
    <row r="6" spans="1:13" x14ac:dyDescent="0.3">
      <c r="I6" t="s">
        <v>55</v>
      </c>
      <c r="J6">
        <v>6068000</v>
      </c>
    </row>
    <row r="7" spans="1:13" x14ac:dyDescent="0.3">
      <c r="C7" s="7"/>
    </row>
    <row r="8" spans="1:13" x14ac:dyDescent="0.3">
      <c r="I8" t="s">
        <v>56</v>
      </c>
      <c r="J8">
        <f>J6/2</f>
        <v>3034000</v>
      </c>
    </row>
    <row r="9" spans="1:13" x14ac:dyDescent="0.3">
      <c r="C9" s="7"/>
    </row>
    <row r="10" spans="1:13" x14ac:dyDescent="0.3">
      <c r="A10" t="s">
        <v>54</v>
      </c>
    </row>
    <row r="11" spans="1:13" x14ac:dyDescent="0.3">
      <c r="C11" s="7"/>
    </row>
    <row r="12" spans="1:13" x14ac:dyDescent="0.3">
      <c r="A12" t="s">
        <v>17</v>
      </c>
      <c r="B12">
        <v>2339000</v>
      </c>
      <c r="L12" t="s">
        <v>59</v>
      </c>
      <c r="M12" t="s">
        <v>60</v>
      </c>
    </row>
    <row r="13" spans="1:13" x14ac:dyDescent="0.3">
      <c r="A13" t="s">
        <v>19</v>
      </c>
      <c r="B13">
        <v>562000</v>
      </c>
      <c r="I13" t="s">
        <v>57</v>
      </c>
      <c r="J13">
        <v>2839000</v>
      </c>
      <c r="L13">
        <v>195000</v>
      </c>
      <c r="M13">
        <v>-184000</v>
      </c>
    </row>
    <row r="14" spans="1:13" x14ac:dyDescent="0.3">
      <c r="I14" t="s">
        <v>58</v>
      </c>
      <c r="J14">
        <v>3229000</v>
      </c>
      <c r="L14">
        <v>195000</v>
      </c>
      <c r="M14">
        <v>184000</v>
      </c>
    </row>
    <row r="16" spans="1:13" x14ac:dyDescent="0.3">
      <c r="B16">
        <f>SUM(B12:B13)</f>
        <v>2901000</v>
      </c>
    </row>
    <row r="28" spans="9:18" x14ac:dyDescent="0.3">
      <c r="I28" t="s">
        <v>61</v>
      </c>
      <c r="J28">
        <v>184000</v>
      </c>
      <c r="K28">
        <v>-40000</v>
      </c>
      <c r="L28">
        <v>-44000</v>
      </c>
      <c r="M28">
        <v>-10000</v>
      </c>
      <c r="N28">
        <v>-55000</v>
      </c>
      <c r="O28">
        <v>-35000</v>
      </c>
      <c r="R28">
        <f>SUM(J28:O28)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VedhuMoney</vt:lpstr>
      <vt:lpstr>to father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Pandavulu, Malireddi</dc:creator>
  <cp:keywords/>
  <dc:description/>
  <cp:lastModifiedBy>Pandavulu, Malireddi</cp:lastModifiedBy>
  <cp:revision/>
  <dcterms:created xsi:type="dcterms:W3CDTF">2021-10-06T13:17:30Z</dcterms:created>
  <dcterms:modified xsi:type="dcterms:W3CDTF">2022-04-29T10:46:11Z</dcterms:modified>
  <cp:category/>
  <cp:contentStatus/>
</cp:coreProperties>
</file>